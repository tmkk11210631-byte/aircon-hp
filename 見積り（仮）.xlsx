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ece9dd07bd51c82/デスクトップ/クラウドワークス/エアコンHP（仮）/"/>
    </mc:Choice>
  </mc:AlternateContent>
  <xr:revisionPtr revIDLastSave="0" documentId="8_{F654DA3A-BF03-4F31-80E3-26E26F8EB7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見積書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22" i="1" s="1"/>
  <c r="E15" i="1"/>
  <c r="E14" i="1"/>
  <c r="E13" i="1"/>
  <c r="E24" i="1" l="1"/>
  <c r="D10" i="1" s="1"/>
  <c r="E23" i="1"/>
</calcChain>
</file>

<file path=xl/sharedStrings.xml><?xml version="1.0" encoding="utf-8"?>
<sst xmlns="http://schemas.openxmlformats.org/spreadsheetml/2006/main" count="37" uniqueCount="37">
  <si>
    <t>見　積　書</t>
  </si>
  <si>
    <t>宛先</t>
  </si>
  <si>
    <r>
      <rPr>
        <b/>
        <sz val="12"/>
        <rFont val="Arial"/>
        <family val="2"/>
      </rPr>
      <t xml:space="preserve">cobura </t>
    </r>
    <r>
      <rPr>
        <b/>
        <sz val="12"/>
        <rFont val="Noto Sans CJK SC"/>
        <family val="2"/>
      </rPr>
      <t>様</t>
    </r>
  </si>
  <si>
    <t>発行日</t>
  </si>
  <si>
    <t>※発行日を記入</t>
  </si>
  <si>
    <t>有効期限</t>
  </si>
  <si>
    <r>
      <rPr>
        <sz val="10"/>
        <rFont val="Noto Sans CJK SC"/>
        <family val="2"/>
      </rPr>
      <t>発行日より</t>
    </r>
    <r>
      <rPr>
        <sz val="10"/>
        <rFont val="Arial"/>
        <family val="2"/>
      </rPr>
      <t>30</t>
    </r>
    <r>
      <rPr>
        <sz val="10"/>
        <rFont val="Noto Sans CJK SC"/>
        <family val="2"/>
      </rPr>
      <t>日間</t>
    </r>
  </si>
  <si>
    <t>件名</t>
  </si>
  <si>
    <t>ホームページ制作一式</t>
  </si>
  <si>
    <t>発行者</t>
  </si>
  <si>
    <t>淺沼 天弘</t>
  </si>
  <si>
    <t>住所</t>
  </si>
  <si>
    <t>※住所を記入</t>
  </si>
  <si>
    <t>電話</t>
  </si>
  <si>
    <t>※電話番号を記入</t>
  </si>
  <si>
    <t>メール</t>
  </si>
  <si>
    <t>※メールを記入</t>
  </si>
  <si>
    <t>合計金額（税込）</t>
  </si>
  <si>
    <t>No.</t>
  </si>
  <si>
    <t>項目</t>
  </si>
  <si>
    <t>単価（税抜）</t>
  </si>
  <si>
    <t>数量</t>
  </si>
  <si>
    <t>金額（税抜）</t>
  </si>
  <si>
    <t>デザイン費（トップページ）</t>
  </si>
  <si>
    <r>
      <rPr>
        <sz val="10"/>
        <rFont val="Noto Sans CJK SC"/>
        <family val="2"/>
      </rPr>
      <t xml:space="preserve">デザイン費（下層ページ </t>
    </r>
    <r>
      <rPr>
        <sz val="10"/>
        <rFont val="Arial"/>
        <family val="2"/>
      </rPr>
      <t>× 4</t>
    </r>
    <r>
      <rPr>
        <sz val="10"/>
        <rFont val="Noto Sans CJK SC"/>
        <family val="2"/>
      </rPr>
      <t>ページ）</t>
    </r>
  </si>
  <si>
    <t>コーディング費</t>
  </si>
  <si>
    <t>スマートフォン対応</t>
  </si>
  <si>
    <t>問い合わせフォーム設置</t>
  </si>
  <si>
    <r>
      <rPr>
        <sz val="10"/>
        <rFont val="Arial"/>
        <family val="2"/>
      </rPr>
      <t>SEO</t>
    </r>
    <r>
      <rPr>
        <sz val="10"/>
        <rFont val="Noto Sans CJK SC"/>
        <family val="2"/>
      </rPr>
      <t>初期設定（地域名対策）</t>
    </r>
  </si>
  <si>
    <r>
      <rPr>
        <sz val="10"/>
        <rFont val="Noto Sans CJK SC"/>
        <family val="2"/>
      </rPr>
      <t>更新機能実装（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設定）</t>
    </r>
  </si>
  <si>
    <t>小計（税抜）</t>
  </si>
  <si>
    <r>
      <rPr>
        <sz val="10"/>
        <rFont val="Noto Sans CJK SC"/>
        <family val="2"/>
      </rPr>
      <t>消費税（</t>
    </r>
    <r>
      <rPr>
        <sz val="10"/>
        <rFont val="Arial"/>
        <family val="2"/>
      </rPr>
      <t>10%</t>
    </r>
    <r>
      <rPr>
        <sz val="10"/>
        <rFont val="Noto Sans CJK SC"/>
        <family val="2"/>
      </rPr>
      <t>）</t>
    </r>
  </si>
  <si>
    <t>合計（税込）</t>
  </si>
  <si>
    <t>【備考】</t>
  </si>
  <si>
    <t>・本見積書は補助金申請用に各項目の内訳を明記したものです。</t>
  </si>
  <si>
    <t>・補助金交付決定後、正式発注となります。</t>
  </si>
  <si>
    <t>・制作開始は交付決定通知受領後となります。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</si>
</sst>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4">
    <font>
      <sz val="11"/>
      <color theme="1"/>
      <name val="Calibri"/>
      <family val="2"/>
      <charset val="1"/>
    </font>
    <font>
      <b/>
      <sz val="18"/>
      <name val="Noto Sans CJK SC"/>
      <family val="2"/>
    </font>
    <font>
      <b/>
      <sz val="10"/>
      <name val="Noto Sans CJK SC"/>
      <family val="2"/>
    </font>
    <font>
      <b/>
      <sz val="12"/>
      <name val="Arial"/>
      <family val="2"/>
    </font>
    <font>
      <b/>
      <sz val="12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1"/>
      <name val="Noto Sans CJK SC"/>
      <family val="2"/>
    </font>
    <font>
      <b/>
      <sz val="14"/>
      <color rgb="FF1A56DB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name val="Arial"/>
      <family val="2"/>
    </font>
    <font>
      <b/>
      <sz val="11"/>
      <color rgb="FF1A56DB"/>
      <name val="Arial"/>
      <family val="2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4444"/>
        <bgColor rgb="FF333300"/>
      </patternFill>
    </fill>
    <fill>
      <patternFill patternType="solid">
        <fgColor rgb="FFF2F2F2"/>
        <bgColor rgb="FFE8F0FE"/>
      </patternFill>
    </fill>
    <fill>
      <patternFill patternType="solid">
        <fgColor rgb="FFE8F0FE"/>
        <bgColor rgb="FFF2F2F2"/>
      </patternFill>
    </fill>
  </fills>
  <borders count="4">
    <border>
      <left/>
      <right/>
      <top/>
      <bottom/>
      <diagonal/>
    </border>
    <border>
      <left style="medium">
        <color rgb="FF1A56DB"/>
      </left>
      <right style="thin">
        <color rgb="FFCCCCCC"/>
      </right>
      <top style="medium">
        <color rgb="FF1A56DB"/>
      </top>
      <bottom style="medium">
        <color rgb="FF1A56DB"/>
      </bottom>
      <diagonal/>
    </border>
    <border>
      <left style="thin">
        <color rgb="FFCCCCCC"/>
      </left>
      <right style="medium">
        <color rgb="FF1A56DB"/>
      </right>
      <top style="medium">
        <color rgb="FF1A56DB"/>
      </top>
      <bottom style="medium">
        <color rgb="FF1A56D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6" fontId="8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8F0FE"/>
      <rgbColor rgb="FF660066"/>
      <rgbColor rgb="FFFF8080"/>
      <rgbColor rgb="FF1A56D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>
      <selection sqref="A1:E1"/>
    </sheetView>
  </sheetViews>
  <sheetFormatPr defaultColWidth="8.7109375" defaultRowHeight="15"/>
  <cols>
    <col min="1" max="1" width="5" customWidth="1"/>
    <col min="2" max="2" width="35" customWidth="1"/>
    <col min="3" max="3" width="12" customWidth="1"/>
    <col min="4" max="4" width="8" customWidth="1"/>
    <col min="5" max="5" width="15" customWidth="1"/>
  </cols>
  <sheetData>
    <row r="1" spans="1:5" ht="39.75" customHeight="1">
      <c r="A1" s="9" t="s">
        <v>0</v>
      </c>
      <c r="B1" s="9"/>
      <c r="C1" s="9"/>
      <c r="D1" s="9"/>
      <c r="E1" s="9"/>
    </row>
    <row r="2" spans="1:5" ht="4.5" customHeight="1"/>
    <row r="3" spans="1:5" ht="21.75" customHeight="1">
      <c r="A3" s="10" t="s">
        <v>1</v>
      </c>
      <c r="B3" s="8" t="s">
        <v>2</v>
      </c>
      <c r="C3" s="8"/>
      <c r="D3" s="11" t="s">
        <v>3</v>
      </c>
      <c r="E3" s="12" t="s">
        <v>4</v>
      </c>
    </row>
    <row r="4" spans="1:5" ht="18" customHeight="1">
      <c r="D4" s="11" t="s">
        <v>5</v>
      </c>
      <c r="E4" s="12" t="s">
        <v>6</v>
      </c>
    </row>
    <row r="5" spans="1:5" ht="18" customHeight="1">
      <c r="A5" s="10" t="s">
        <v>7</v>
      </c>
      <c r="B5" s="7" t="s">
        <v>8</v>
      </c>
      <c r="C5" s="7"/>
      <c r="D5" s="11" t="s">
        <v>9</v>
      </c>
      <c r="E5" s="12" t="s">
        <v>10</v>
      </c>
    </row>
    <row r="6" spans="1:5" ht="18" customHeight="1">
      <c r="D6" s="11" t="s">
        <v>11</v>
      </c>
      <c r="E6" s="12" t="s">
        <v>12</v>
      </c>
    </row>
    <row r="7" spans="1:5" ht="18" customHeight="1">
      <c r="D7" s="11" t="s">
        <v>13</v>
      </c>
      <c r="E7" s="12" t="s">
        <v>14</v>
      </c>
    </row>
    <row r="8" spans="1:5" ht="18" customHeight="1">
      <c r="D8" s="11" t="s">
        <v>15</v>
      </c>
      <c r="E8" s="12" t="s">
        <v>16</v>
      </c>
    </row>
    <row r="9" spans="1:5" ht="7.5" customHeight="1"/>
    <row r="10" spans="1:5" ht="30" customHeight="1">
      <c r="A10" s="6" t="s">
        <v>17</v>
      </c>
      <c r="B10" s="6"/>
      <c r="C10" s="6"/>
      <c r="D10" s="5">
        <f>SUM(E18:E26)*1.1</f>
        <v>506000.00000000006</v>
      </c>
      <c r="E10" s="5"/>
    </row>
    <row r="11" spans="1:5" ht="7.5" customHeight="1"/>
    <row r="12" spans="1:5" ht="21.75" customHeight="1">
      <c r="A12" s="13" t="s">
        <v>18</v>
      </c>
      <c r="B12" s="14" t="s">
        <v>19</v>
      </c>
      <c r="C12" s="14" t="s">
        <v>20</v>
      </c>
      <c r="D12" s="14" t="s">
        <v>21</v>
      </c>
      <c r="E12" s="14" t="s">
        <v>22</v>
      </c>
    </row>
    <row r="13" spans="1:5" ht="19.5" customHeight="1">
      <c r="A13" s="15">
        <v>1</v>
      </c>
      <c r="B13" s="16" t="s">
        <v>23</v>
      </c>
      <c r="C13" s="17">
        <v>50000</v>
      </c>
      <c r="D13" s="15">
        <v>1</v>
      </c>
      <c r="E13" s="17">
        <f t="shared" ref="E13:E19" si="0">C13*D13</f>
        <v>50000</v>
      </c>
    </row>
    <row r="14" spans="1:5" ht="19.5" customHeight="1">
      <c r="A14" s="18">
        <v>2</v>
      </c>
      <c r="B14" s="19" t="s">
        <v>24</v>
      </c>
      <c r="C14" s="20">
        <v>40000</v>
      </c>
      <c r="D14" s="18">
        <v>1</v>
      </c>
      <c r="E14" s="20">
        <f t="shared" si="0"/>
        <v>40000</v>
      </c>
    </row>
    <row r="15" spans="1:5" ht="19.5" customHeight="1">
      <c r="A15" s="15">
        <v>3</v>
      </c>
      <c r="B15" s="16" t="s">
        <v>25</v>
      </c>
      <c r="C15" s="17">
        <v>60000</v>
      </c>
      <c r="D15" s="15">
        <v>1</v>
      </c>
      <c r="E15" s="17">
        <f t="shared" si="0"/>
        <v>60000</v>
      </c>
    </row>
    <row r="16" spans="1:5" ht="19.5" customHeight="1">
      <c r="A16" s="18">
        <v>4</v>
      </c>
      <c r="B16" s="19" t="s">
        <v>26</v>
      </c>
      <c r="C16" s="20">
        <v>20000</v>
      </c>
      <c r="D16" s="18">
        <v>1</v>
      </c>
      <c r="E16" s="20">
        <f t="shared" si="0"/>
        <v>20000</v>
      </c>
    </row>
    <row r="17" spans="1:5" ht="19.5" customHeight="1">
      <c r="A17" s="15">
        <v>5</v>
      </c>
      <c r="B17" s="16" t="s">
        <v>27</v>
      </c>
      <c r="C17" s="17">
        <v>10000</v>
      </c>
      <c r="D17" s="15">
        <v>1</v>
      </c>
      <c r="E17" s="17">
        <f t="shared" si="0"/>
        <v>10000</v>
      </c>
    </row>
    <row r="18" spans="1:5" ht="19.5" customHeight="1">
      <c r="A18" s="18">
        <v>6</v>
      </c>
      <c r="B18" s="21" t="s">
        <v>28</v>
      </c>
      <c r="C18" s="20">
        <v>10000</v>
      </c>
      <c r="D18" s="18">
        <v>1</v>
      </c>
      <c r="E18" s="20">
        <f t="shared" si="0"/>
        <v>10000</v>
      </c>
    </row>
    <row r="19" spans="1:5" ht="19.5" customHeight="1">
      <c r="A19" s="15">
        <v>7</v>
      </c>
      <c r="B19" s="16" t="s">
        <v>29</v>
      </c>
      <c r="C19" s="17">
        <v>10000</v>
      </c>
      <c r="D19" s="15">
        <v>1</v>
      </c>
      <c r="E19" s="17">
        <f t="shared" si="0"/>
        <v>10000</v>
      </c>
    </row>
    <row r="20" spans="1:5" ht="19.5" customHeight="1">
      <c r="A20" s="18"/>
      <c r="B20" s="19"/>
      <c r="C20" s="22"/>
      <c r="D20" s="18"/>
      <c r="E20" s="22"/>
    </row>
    <row r="21" spans="1:5" ht="19.5" customHeight="1">
      <c r="A21" s="15"/>
      <c r="B21" s="16"/>
      <c r="C21" s="23"/>
      <c r="D21" s="15"/>
      <c r="E21" s="23"/>
    </row>
    <row r="22" spans="1:5" ht="19.5" customHeight="1">
      <c r="A22" s="4" t="s">
        <v>30</v>
      </c>
      <c r="B22" s="4"/>
      <c r="C22" s="4"/>
      <c r="D22" s="4"/>
      <c r="E22" s="24">
        <f>SUM(E13:E21)</f>
        <v>200000</v>
      </c>
    </row>
    <row r="23" spans="1:5" ht="19.5" customHeight="1">
      <c r="A23" s="3" t="s">
        <v>31</v>
      </c>
      <c r="B23" s="3"/>
      <c r="C23" s="3"/>
      <c r="D23" s="3"/>
      <c r="E23" s="20">
        <f>E22*0.1</f>
        <v>20000</v>
      </c>
    </row>
    <row r="24" spans="1:5" ht="24" customHeight="1">
      <c r="A24" s="2" t="s">
        <v>32</v>
      </c>
      <c r="B24" s="2"/>
      <c r="C24" s="2"/>
      <c r="D24" s="2"/>
      <c r="E24" s="25">
        <f>E22+E23</f>
        <v>220000</v>
      </c>
    </row>
    <row r="26" spans="1:5" ht="18" customHeight="1">
      <c r="A26" s="1" t="s">
        <v>33</v>
      </c>
      <c r="B26" s="1"/>
      <c r="C26" s="1"/>
      <c r="D26" s="1"/>
      <c r="E26" s="1"/>
    </row>
    <row r="27" spans="1:5" ht="18" customHeight="1">
      <c r="A27" s="7" t="s">
        <v>34</v>
      </c>
      <c r="B27" s="7"/>
      <c r="C27" s="7"/>
      <c r="D27" s="7"/>
      <c r="E27" s="7"/>
    </row>
    <row r="28" spans="1:5" ht="18" customHeight="1">
      <c r="A28" s="7" t="s">
        <v>35</v>
      </c>
      <c r="B28" s="7"/>
      <c r="C28" s="7"/>
      <c r="D28" s="7"/>
      <c r="E28" s="7"/>
    </row>
    <row r="29" spans="1:5" ht="18" customHeight="1">
      <c r="A29" s="7" t="s">
        <v>36</v>
      </c>
      <c r="B29" s="7"/>
      <c r="C29" s="7"/>
      <c r="D29" s="7"/>
      <c r="E29" s="7"/>
    </row>
  </sheetData>
  <mergeCells count="12">
    <mergeCell ref="A28:E28"/>
    <mergeCell ref="A29:E29"/>
    <mergeCell ref="A22:D22"/>
    <mergeCell ref="A23:D23"/>
    <mergeCell ref="A24:D24"/>
    <mergeCell ref="A26:E26"/>
    <mergeCell ref="A27:E27"/>
    <mergeCell ref="A1:E1"/>
    <mergeCell ref="B3:C3"/>
    <mergeCell ref="B5:C5"/>
    <mergeCell ref="A10:C10"/>
    <mergeCell ref="D10:E10"/>
  </mergeCells>
  <phoneticPr fontId="1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Takahiro Asanuma</cp:lastModifiedBy>
  <cp:revision>0</cp:revision>
  <dcterms:created xsi:type="dcterms:W3CDTF">2026-03-22T07:00:19Z</dcterms:created>
  <dcterms:modified xsi:type="dcterms:W3CDTF">2026-03-22T12:08:55Z</dcterms:modified>
  <dc:language>en-US</dc:language>
</cp:coreProperties>
</file>